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yCostPools" sheetId="1" state="visible" r:id="rId3"/>
    <sheet name="CustomerData" sheetId="2" state="visible" r:id="rId4"/>
    <sheet name="ABC_Calcul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<sst xmlns="http://schemas.openxmlformats.org/spreadsheetml/2006/main" count="57" uniqueCount="53">
  <si>
    <t xml:space="preserve">Activity</t>
  </si>
  <si>
    <t xml:space="preserve">CostPool</t>
  </si>
  <si>
    <t xml:space="preserve">CostDriver</t>
  </si>
  <si>
    <t xml:space="preserve">TotalDriverUnits</t>
  </si>
  <si>
    <t xml:space="preserve">DriverRate</t>
  </si>
  <si>
    <t xml:space="preserve">Order Processing</t>
  </si>
  <si>
    <t xml:space="preserve">No. of Orders</t>
  </si>
  <si>
    <t xml:space="preserve">Machine Setup</t>
  </si>
  <si>
    <t xml:space="preserve">No. of Setups</t>
  </si>
  <si>
    <t xml:space="preserve">Quality Inspection</t>
  </si>
  <si>
    <t xml:space="preserve">Inspection Hours</t>
  </si>
  <si>
    <t xml:space="preserve">Packaging &amp; Shipping</t>
  </si>
  <si>
    <t xml:space="preserve">No. of Shipments</t>
  </si>
  <si>
    <t xml:space="preserve">Customer Service &amp; Support</t>
  </si>
  <si>
    <t xml:space="preserve">Service Calls</t>
  </si>
  <si>
    <t xml:space="preserve">Total Overhead</t>
  </si>
  <si>
    <t xml:space="preserve">Note: Blue = source input (edit these); Black = formula (DriverRate = CostPool / TotalDriverUnits).</t>
  </si>
  <si>
    <t xml:space="preserve">Customer</t>
  </si>
  <si>
    <t xml:space="preserve">Segment</t>
  </si>
  <si>
    <t xml:space="preserve">Revenue</t>
  </si>
  <si>
    <t xml:space="preserve">COGS</t>
  </si>
  <si>
    <t xml:space="preserve">Orders</t>
  </si>
  <si>
    <t xml:space="preserve">Setups</t>
  </si>
  <si>
    <t xml:space="preserve">InspectionHours</t>
  </si>
  <si>
    <t xml:space="preserve">Shipments</t>
  </si>
  <si>
    <t xml:space="preserve">ServiceCalls</t>
  </si>
  <si>
    <t xml:space="preserve">Customer A - Retail Chain</t>
  </si>
  <si>
    <t xml:space="preserve">Retail</t>
  </si>
  <si>
    <t xml:space="preserve">Customer B - Wholesale Distributor</t>
  </si>
  <si>
    <t xml:space="preserve">Wholesale</t>
  </si>
  <si>
    <t xml:space="preserve">Customer C - Online Marketplace</t>
  </si>
  <si>
    <t xml:space="preserve">Online</t>
  </si>
  <si>
    <t xml:space="preserve">Customer D - Small Retailer</t>
  </si>
  <si>
    <t xml:space="preserve">Small Retail</t>
  </si>
  <si>
    <t xml:space="preserve">Customer E - Export Client</t>
  </si>
  <si>
    <t xml:space="preserve">Export</t>
  </si>
  <si>
    <t xml:space="preserve">Total</t>
  </si>
  <si>
    <t xml:space="preserve">Gross Margin</t>
  </si>
  <si>
    <t xml:space="preserve">Alloc OrderProc</t>
  </si>
  <si>
    <t xml:space="preserve">Alloc Setup</t>
  </si>
  <si>
    <t xml:space="preserve">Alloc Inspection</t>
  </si>
  <si>
    <t xml:space="preserve">Alloc Shipping</t>
  </si>
  <si>
    <t xml:space="preserve">Alloc Service</t>
  </si>
  <si>
    <t xml:space="preserve">Total Allocated OH</t>
  </si>
  <si>
    <t xml:space="preserve">Net Profit ABC</t>
  </si>
  <si>
    <t xml:space="preserve">Net Margin % ABC</t>
  </si>
  <si>
    <t xml:space="preserve">Traditional Alloc OH</t>
  </si>
  <si>
    <t xml:space="preserve">Net Profit Traditional</t>
  </si>
  <si>
    <t xml:space="preserve">Net Margin % Traditional</t>
  </si>
  <si>
    <t xml:space="preserve">TOTAL</t>
  </si>
  <si>
    <t xml:space="preserve">Formulas: Alloc &lt;Activity&gt; = Customer driver quantity x Driver Rate (from ActivityCostPools).</t>
  </si>
  <si>
    <t xml:space="preserve">Traditional Alloc OH = Customer Revenue share x Total Overhead (single revenue-based allocation base).</t>
  </si>
  <si>
    <t xml:space="preserve">Net Profit = Gross Margin - Allocated Overhead. This sheet mirrors the Power BI DAX measures documented in Appendix A of the project report.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</si>
</sst>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General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BC_Calculation" displayName="ABC_Calculation" ref="A1:P6" headerRowCount="1" totalsRowCount="0" totalsRowShown="0">
  <autoFilter ref="A1:P6"/>
  <tableColumns count="16">
    <tableColumn id="1" name="Customer"/>
    <tableColumn id="2" name="Segment"/>
    <tableColumn id="3" name="Revenue"/>
    <tableColumn id="4" name="COGS"/>
    <tableColumn id="5" name="Gross Margin"/>
    <tableColumn id="6" name="Alloc OrderProc"/>
    <tableColumn id="7" name="Alloc Setup"/>
    <tableColumn id="8" name="Alloc Inspection"/>
    <tableColumn id="9" name="Alloc Shipping"/>
    <tableColumn id="10" name="Alloc Service"/>
    <tableColumn id="11" name="Total Allocated OH"/>
    <tableColumn id="12" name="Net Profit ABC"/>
    <tableColumn id="13" name="Net Margin % ABC"/>
    <tableColumn id="14" name="Traditional Alloc OH"/>
    <tableColumn id="15" name="Net Profit Traditional"/>
    <tableColumn id="16" name="Net Margin % Traditional"/>
  </tableColumns>
</table>
</file>

<file path=xl/tables/table2.xml><?xml version="1.0" encoding="utf-8"?>
<table xmlns="http://schemas.openxmlformats.org/spreadsheetml/2006/main" id="2" name="ActivityCostPools" displayName="ActivityCostPools" ref="A1:E6" headerRowCount="1" totalsRowCount="0" totalsRowShown="0">
  <autoFilter ref="A1:E6"/>
  <tableColumns count="5">
    <tableColumn id="1" name="Activity"/>
    <tableColumn id="2" name="CostPool"/>
    <tableColumn id="3" name="CostDriver"/>
    <tableColumn id="4" name="TotalDriverUnits"/>
    <tableColumn id="5" name="DriverRate"/>
  </tableColumns>
</table>
</file>

<file path=xl/tables/table3.xml><?xml version="1.0" encoding="utf-8"?>
<table xmlns="http://schemas.openxmlformats.org/spreadsheetml/2006/main" id="3" name="CustomerData" displayName="CustomerData" ref="A1:I6" headerRowCount="1" totalsRowCount="0" totalsRowShown="0">
  <autoFilter ref="A1:I6"/>
  <tableColumns count="9">
    <tableColumn id="1" name="Customer"/>
    <tableColumn id="2" name="Segment"/>
    <tableColumn id="3" name="Revenue"/>
    <tableColumn id="4" name="COGS"/>
    <tableColumn id="5" name="Orders"/>
    <tableColumn id="6" name="Setups"/>
    <tableColumn id="7" name="InspectionHours"/>
    <tableColumn id="8" name="Shipments"/>
    <tableColumn id="9" name="ServiceCall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850000</v>
      </c>
      <c r="C2" s="2" t="s">
        <v>6</v>
      </c>
      <c r="D2" s="3" t="n">
        <v>4250</v>
      </c>
      <c r="E2" s="4" t="n">
        <f aca="false">B2/D2</f>
        <v>200</v>
      </c>
    </row>
    <row r="3" customFormat="false" ht="15" hidden="false" customHeight="false" outlineLevel="0" collapsed="false">
      <c r="A3" s="2" t="s">
        <v>7</v>
      </c>
      <c r="B3" s="3" t="n">
        <v>1200000</v>
      </c>
      <c r="C3" s="2" t="s">
        <v>8</v>
      </c>
      <c r="D3" s="3" t="n">
        <v>480</v>
      </c>
      <c r="E3" s="4" t="n">
        <f aca="false">B3/D3</f>
        <v>2500</v>
      </c>
    </row>
    <row r="4" customFormat="false" ht="15" hidden="false" customHeight="false" outlineLevel="0" collapsed="false">
      <c r="A4" s="2" t="s">
        <v>9</v>
      </c>
      <c r="B4" s="3" t="n">
        <v>650000</v>
      </c>
      <c r="C4" s="2" t="s">
        <v>10</v>
      </c>
      <c r="D4" s="3" t="n">
        <v>1300</v>
      </c>
      <c r="E4" s="4" t="n">
        <f aca="false">B4/D4</f>
        <v>500</v>
      </c>
    </row>
    <row r="5" customFormat="false" ht="15" hidden="false" customHeight="false" outlineLevel="0" collapsed="false">
      <c r="A5" s="2" t="s">
        <v>11</v>
      </c>
      <c r="B5" s="3" t="n">
        <v>1450000</v>
      </c>
      <c r="C5" s="2" t="s">
        <v>12</v>
      </c>
      <c r="D5" s="3" t="n">
        <v>4025</v>
      </c>
      <c r="E5" s="4" t="n">
        <f aca="false">B5/D5</f>
        <v>360.248447204969</v>
      </c>
    </row>
    <row r="6" customFormat="false" ht="15" hidden="false" customHeight="false" outlineLevel="0" collapsed="false">
      <c r="A6" s="2" t="s">
        <v>13</v>
      </c>
      <c r="B6" s="3" t="n">
        <v>850000</v>
      </c>
      <c r="C6" s="2" t="s">
        <v>14</v>
      </c>
      <c r="D6" s="3" t="n">
        <v>1700</v>
      </c>
      <c r="E6" s="4" t="n">
        <f aca="false">B6/D6</f>
        <v>500</v>
      </c>
    </row>
    <row r="7" customFormat="false" ht="15" hidden="false" customHeight="false" outlineLevel="0" collapsed="false">
      <c r="A7" s="5" t="s">
        <v>15</v>
      </c>
      <c r="B7" s="6" t="n">
        <f aca="false">SUM(B2:B6)</f>
        <v>5000000</v>
      </c>
      <c r="C7" s="7"/>
      <c r="D7" s="7"/>
      <c r="E7" s="7"/>
    </row>
    <row r="9" customFormat="false" ht="15" hidden="false" customHeight="false" outlineLevel="0" collapsed="false">
      <c r="A9" s="8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3"/>
    <col collapsed="false" customWidth="true" hidden="false" outlineLevel="0" max="6" min="5" style="0" width="10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customFormat="false" ht="15" hidden="false" customHeight="false" outlineLevel="0" collapsed="false">
      <c r="A2" s="2" t="s">
        <v>26</v>
      </c>
      <c r="B2" s="2" t="s">
        <v>27</v>
      </c>
      <c r="C2" s="3" t="n">
        <v>3200000</v>
      </c>
      <c r="D2" s="3" t="n">
        <v>2000000</v>
      </c>
      <c r="E2" s="2" t="n">
        <v>1400</v>
      </c>
      <c r="F2" s="2" t="n">
        <v>60</v>
      </c>
      <c r="G2" s="2" t="n">
        <v>180</v>
      </c>
      <c r="H2" s="2" t="n">
        <v>1350</v>
      </c>
      <c r="I2" s="2" t="n">
        <v>420</v>
      </c>
    </row>
    <row r="3" customFormat="false" ht="15" hidden="false" customHeight="false" outlineLevel="0" collapsed="false">
      <c r="A3" s="2" t="s">
        <v>28</v>
      </c>
      <c r="B3" s="2" t="s">
        <v>29</v>
      </c>
      <c r="C3" s="3" t="n">
        <v>5400000</v>
      </c>
      <c r="D3" s="3" t="n">
        <v>3800000</v>
      </c>
      <c r="E3" s="2" t="n">
        <v>350</v>
      </c>
      <c r="F3" s="2" t="n">
        <v>220</v>
      </c>
      <c r="G3" s="2" t="n">
        <v>520</v>
      </c>
      <c r="H3" s="2" t="n">
        <v>300</v>
      </c>
      <c r="I3" s="2" t="n">
        <v>260</v>
      </c>
    </row>
    <row r="4" customFormat="false" ht="15" hidden="false" customHeight="false" outlineLevel="0" collapsed="false">
      <c r="A4" s="2" t="s">
        <v>30</v>
      </c>
      <c r="B4" s="2" t="s">
        <v>31</v>
      </c>
      <c r="C4" s="3" t="n">
        <v>2100000</v>
      </c>
      <c r="D4" s="3" t="n">
        <v>1450000</v>
      </c>
      <c r="E4" s="2" t="n">
        <v>1800</v>
      </c>
      <c r="F4" s="2" t="n">
        <v>40</v>
      </c>
      <c r="G4" s="2" t="n">
        <v>150</v>
      </c>
      <c r="H4" s="2" t="n">
        <v>1700</v>
      </c>
      <c r="I4" s="2" t="n">
        <v>650</v>
      </c>
    </row>
    <row r="5" customFormat="false" ht="15" hidden="false" customHeight="false" outlineLevel="0" collapsed="false">
      <c r="A5" s="2" t="s">
        <v>32</v>
      </c>
      <c r="B5" s="2" t="s">
        <v>33</v>
      </c>
      <c r="C5" s="3" t="n">
        <v>950000</v>
      </c>
      <c r="D5" s="3" t="n">
        <v>620000</v>
      </c>
      <c r="E5" s="2" t="n">
        <v>600</v>
      </c>
      <c r="F5" s="2" t="n">
        <v>30</v>
      </c>
      <c r="G5" s="2" t="n">
        <v>90</v>
      </c>
      <c r="H5" s="2" t="n">
        <v>550</v>
      </c>
      <c r="I5" s="2" t="n">
        <v>180</v>
      </c>
    </row>
    <row r="6" customFormat="false" ht="15" hidden="false" customHeight="false" outlineLevel="0" collapsed="false">
      <c r="A6" s="2" t="s">
        <v>34</v>
      </c>
      <c r="B6" s="2" t="s">
        <v>35</v>
      </c>
      <c r="C6" s="3" t="n">
        <v>4650000</v>
      </c>
      <c r="D6" s="3" t="n">
        <v>3100000</v>
      </c>
      <c r="E6" s="2" t="n">
        <v>100</v>
      </c>
      <c r="F6" s="2" t="n">
        <v>130</v>
      </c>
      <c r="G6" s="2" t="n">
        <v>360</v>
      </c>
      <c r="H6" s="2" t="n">
        <v>125</v>
      </c>
      <c r="I6" s="2" t="n">
        <v>190</v>
      </c>
    </row>
    <row r="7" customFormat="false" ht="15" hidden="false" customHeight="false" outlineLevel="0" collapsed="false">
      <c r="A7" s="5" t="s">
        <v>36</v>
      </c>
      <c r="B7" s="7"/>
      <c r="C7" s="6" t="n">
        <f aca="false">SUM(C2:C6)</f>
        <v>16300000</v>
      </c>
      <c r="D7" s="6" t="n">
        <f aca="false">SUM(D2:D6)</f>
        <v>10970000</v>
      </c>
      <c r="E7" s="9" t="n">
        <f aca="false">SUM(E2:E6)</f>
        <v>4250</v>
      </c>
      <c r="F7" s="9" t="n">
        <f aca="false">SUM(F2:F6)</f>
        <v>480</v>
      </c>
      <c r="G7" s="9" t="n">
        <f aca="false">SUM(G2:G6)</f>
        <v>1300</v>
      </c>
      <c r="H7" s="9" t="n">
        <f aca="false">SUM(H2:H6)</f>
        <v>4025</v>
      </c>
      <c r="I7" s="9" t="n">
        <f aca="false">SUM(I2:I6)</f>
        <v>1700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5" min="14" style="0" width="15"/>
    <col collapsed="false" customWidth="true" hidden="false" outlineLevel="0" max="16" min="16" style="0" width="16"/>
  </cols>
  <sheetData>
    <row r="1" customFormat="false" ht="39.5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customFormat="false" ht="15" hidden="false" customHeight="false" outlineLevel="0" collapsed="false">
      <c r="A2" s="9" t="str">
        <f aca="false">CustomerData!A2</f>
        <v>Customer A - Retail Chain</v>
      </c>
      <c r="B2" s="9" t="str">
        <f aca="false">CustomerData!B2</f>
        <v>Retail</v>
      </c>
      <c r="C2" s="6" t="n">
        <f aca="false">CustomerData!C2</f>
        <v>3200000</v>
      </c>
      <c r="D2" s="6" t="n">
        <f aca="false">CustomerData!D2</f>
        <v>2000000</v>
      </c>
      <c r="E2" s="6" t="n">
        <f aca="false">C2-D2</f>
        <v>1200000</v>
      </c>
      <c r="F2" s="6" t="n">
        <f aca="false">CustomerData!E2*ActivityCostPools!$E$2</f>
        <v>280000</v>
      </c>
      <c r="G2" s="6" t="n">
        <f aca="false">CustomerData!F2*ActivityCostPools!$E$3</f>
        <v>150000</v>
      </c>
      <c r="H2" s="6" t="n">
        <f aca="false">CustomerData!G2*ActivityCostPools!$E$4</f>
        <v>90000</v>
      </c>
      <c r="I2" s="6" t="n">
        <f aca="false">CustomerData!H2*ActivityCostPools!$E$5</f>
        <v>486335.403726708</v>
      </c>
      <c r="J2" s="6" t="n">
        <f aca="false">CustomerData!I2*ActivityCostPools!$E$6</f>
        <v>210000</v>
      </c>
      <c r="K2" s="6" t="n">
        <f aca="false">SUM(F2:J2)</f>
        <v>1216335.40372671</v>
      </c>
      <c r="L2" s="6" t="n">
        <f aca="false">E2-K2</f>
        <v>-16335.4037267081</v>
      </c>
      <c r="M2" s="10" t="n">
        <f aca="false">L2/C2</f>
        <v>-0.0051048136645963</v>
      </c>
      <c r="N2" s="6" t="n">
        <f aca="false">(C2/SUM($C$2:$C$6))*ActivityCostPools!$B$7</f>
        <v>981595.09202454</v>
      </c>
      <c r="O2" s="6" t="n">
        <f aca="false">E2-N2</f>
        <v>218404.90797546</v>
      </c>
      <c r="P2" s="10" t="n">
        <f aca="false">O2/C2</f>
        <v>0.0682515337423313</v>
      </c>
    </row>
    <row r="3" customFormat="false" ht="15" hidden="false" customHeight="false" outlineLevel="0" collapsed="false">
      <c r="A3" s="9" t="str">
        <f aca="false">CustomerData!A3</f>
        <v>Customer B - Wholesale Distributor</v>
      </c>
      <c r="B3" s="9" t="str">
        <f aca="false">CustomerData!B3</f>
        <v>Wholesale</v>
      </c>
      <c r="C3" s="6" t="n">
        <f aca="false">CustomerData!C3</f>
        <v>5400000</v>
      </c>
      <c r="D3" s="6" t="n">
        <f aca="false">CustomerData!D3</f>
        <v>3800000</v>
      </c>
      <c r="E3" s="6" t="n">
        <f aca="false">C3-D3</f>
        <v>1600000</v>
      </c>
      <c r="F3" s="6" t="n">
        <f aca="false">CustomerData!E3*ActivityCostPools!$E$2</f>
        <v>70000</v>
      </c>
      <c r="G3" s="6" t="n">
        <f aca="false">CustomerData!F3*ActivityCostPools!$E$3</f>
        <v>550000</v>
      </c>
      <c r="H3" s="6" t="n">
        <f aca="false">CustomerData!G3*ActivityCostPools!$E$4</f>
        <v>260000</v>
      </c>
      <c r="I3" s="6" t="n">
        <f aca="false">CustomerData!H3*ActivityCostPools!$E$5</f>
        <v>108074.534161491</v>
      </c>
      <c r="J3" s="6" t="n">
        <f aca="false">CustomerData!I3*ActivityCostPools!$E$6</f>
        <v>130000</v>
      </c>
      <c r="K3" s="6" t="n">
        <f aca="false">SUM(F3:J3)</f>
        <v>1118074.53416149</v>
      </c>
      <c r="L3" s="6" t="n">
        <f aca="false">E3-K3</f>
        <v>481925.465838509</v>
      </c>
      <c r="M3" s="10" t="n">
        <f aca="false">L3/C3</f>
        <v>0.089245456636761</v>
      </c>
      <c r="N3" s="6" t="n">
        <f aca="false">(C3/SUM($C$2:$C$6))*ActivityCostPools!$B$7</f>
        <v>1656441.71779141</v>
      </c>
      <c r="O3" s="6" t="n">
        <f aca="false">E3-N3</f>
        <v>-56441.7177914109</v>
      </c>
      <c r="P3" s="10" t="n">
        <f aca="false">O3/C3</f>
        <v>-0.0104521699613724</v>
      </c>
    </row>
    <row r="4" customFormat="false" ht="15" hidden="false" customHeight="false" outlineLevel="0" collapsed="false">
      <c r="A4" s="9" t="str">
        <f aca="false">CustomerData!A4</f>
        <v>Customer C - Online Marketplace</v>
      </c>
      <c r="B4" s="9" t="str">
        <f aca="false">CustomerData!B4</f>
        <v>Online</v>
      </c>
      <c r="C4" s="6" t="n">
        <f aca="false">CustomerData!C4</f>
        <v>2100000</v>
      </c>
      <c r="D4" s="6" t="n">
        <f aca="false">CustomerData!D4</f>
        <v>1450000</v>
      </c>
      <c r="E4" s="6" t="n">
        <f aca="false">C4-D4</f>
        <v>650000</v>
      </c>
      <c r="F4" s="6" t="n">
        <f aca="false">CustomerData!E4*ActivityCostPools!$E$2</f>
        <v>360000</v>
      </c>
      <c r="G4" s="6" t="n">
        <f aca="false">CustomerData!F4*ActivityCostPools!$E$3</f>
        <v>100000</v>
      </c>
      <c r="H4" s="6" t="n">
        <f aca="false">CustomerData!G4*ActivityCostPools!$E$4</f>
        <v>75000</v>
      </c>
      <c r="I4" s="6" t="n">
        <f aca="false">CustomerData!H4*ActivityCostPools!$E$5</f>
        <v>612422.360248447</v>
      </c>
      <c r="J4" s="6" t="n">
        <f aca="false">CustomerData!I4*ActivityCostPools!$E$6</f>
        <v>325000</v>
      </c>
      <c r="K4" s="6" t="n">
        <f aca="false">SUM(F4:J4)</f>
        <v>1472422.36024845</v>
      </c>
      <c r="L4" s="6" t="n">
        <f aca="false">E4-K4</f>
        <v>-822422.360248447</v>
      </c>
      <c r="M4" s="10" t="n">
        <f aca="false">L4/C4</f>
        <v>-0.391629695356404</v>
      </c>
      <c r="N4" s="6" t="n">
        <f aca="false">(C4/SUM($C$2:$C$6))*ActivityCostPools!$B$7</f>
        <v>644171.779141104</v>
      </c>
      <c r="O4" s="6" t="n">
        <f aca="false">E4-N4</f>
        <v>5828.22085889569</v>
      </c>
      <c r="P4" s="10" t="n">
        <f aca="false">O4/C4</f>
        <v>0.0027753432661408</v>
      </c>
    </row>
    <row r="5" customFormat="false" ht="15" hidden="false" customHeight="false" outlineLevel="0" collapsed="false">
      <c r="A5" s="9" t="str">
        <f aca="false">CustomerData!A5</f>
        <v>Customer D - Small Retailer</v>
      </c>
      <c r="B5" s="9" t="str">
        <f aca="false">CustomerData!B5</f>
        <v>Small Retail</v>
      </c>
      <c r="C5" s="6" t="n">
        <f aca="false">CustomerData!C5</f>
        <v>950000</v>
      </c>
      <c r="D5" s="6" t="n">
        <f aca="false">CustomerData!D5</f>
        <v>620000</v>
      </c>
      <c r="E5" s="6" t="n">
        <f aca="false">C5-D5</f>
        <v>330000</v>
      </c>
      <c r="F5" s="6" t="n">
        <f aca="false">CustomerData!E5*ActivityCostPools!$E$2</f>
        <v>120000</v>
      </c>
      <c r="G5" s="6" t="n">
        <f aca="false">CustomerData!F5*ActivityCostPools!$E$3</f>
        <v>75000</v>
      </c>
      <c r="H5" s="6" t="n">
        <f aca="false">CustomerData!G5*ActivityCostPools!$E$4</f>
        <v>45000</v>
      </c>
      <c r="I5" s="6" t="n">
        <f aca="false">CustomerData!H5*ActivityCostPools!$E$5</f>
        <v>198136.645962733</v>
      </c>
      <c r="J5" s="6" t="n">
        <f aca="false">CustomerData!I5*ActivityCostPools!$E$6</f>
        <v>90000</v>
      </c>
      <c r="K5" s="6" t="n">
        <f aca="false">SUM(F5:J5)</f>
        <v>528136.645962733</v>
      </c>
      <c r="L5" s="6" t="n">
        <f aca="false">E5-K5</f>
        <v>-198136.645962733</v>
      </c>
      <c r="M5" s="10" t="n">
        <f aca="false">L5/C5</f>
        <v>-0.208564890487087</v>
      </c>
      <c r="N5" s="6" t="n">
        <f aca="false">(C5/SUM($C$2:$C$6))*ActivityCostPools!$B$7</f>
        <v>291411.042944785</v>
      </c>
      <c r="O5" s="6" t="n">
        <f aca="false">E5-N5</f>
        <v>38588.9570552147</v>
      </c>
      <c r="P5" s="10" t="n">
        <f aca="false">O5/C5</f>
        <v>0.0406199547949629</v>
      </c>
    </row>
    <row r="6" customFormat="false" ht="15" hidden="false" customHeight="false" outlineLevel="0" collapsed="false">
      <c r="A6" s="9" t="str">
        <f aca="false">CustomerData!A6</f>
        <v>Customer E - Export Client</v>
      </c>
      <c r="B6" s="9" t="str">
        <f aca="false">CustomerData!B6</f>
        <v>Export</v>
      </c>
      <c r="C6" s="6" t="n">
        <f aca="false">CustomerData!C6</f>
        <v>4650000</v>
      </c>
      <c r="D6" s="6" t="n">
        <f aca="false">CustomerData!D6</f>
        <v>3100000</v>
      </c>
      <c r="E6" s="6" t="n">
        <f aca="false">C6-D6</f>
        <v>1550000</v>
      </c>
      <c r="F6" s="6" t="n">
        <f aca="false">CustomerData!E6*ActivityCostPools!$E$2</f>
        <v>20000</v>
      </c>
      <c r="G6" s="6" t="n">
        <f aca="false">CustomerData!F6*ActivityCostPools!$E$3</f>
        <v>325000</v>
      </c>
      <c r="H6" s="6" t="n">
        <f aca="false">CustomerData!G6*ActivityCostPools!$E$4</f>
        <v>180000</v>
      </c>
      <c r="I6" s="6" t="n">
        <f aca="false">CustomerData!H6*ActivityCostPools!$E$5</f>
        <v>45031.0559006211</v>
      </c>
      <c r="J6" s="6" t="n">
        <f aca="false">CustomerData!I6*ActivityCostPools!$E$6</f>
        <v>95000</v>
      </c>
      <c r="K6" s="6" t="n">
        <f aca="false">SUM(F6:J6)</f>
        <v>665031.055900621</v>
      </c>
      <c r="L6" s="6" t="n">
        <f aca="false">E6-K6</f>
        <v>884968.944099379</v>
      </c>
      <c r="M6" s="10" t="n">
        <f aca="false">L6/C6</f>
        <v>0.190315901956856</v>
      </c>
      <c r="N6" s="6" t="n">
        <f aca="false">(C6/SUM($C$2:$C$6))*ActivityCostPools!$B$7</f>
        <v>1426380.36809816</v>
      </c>
      <c r="O6" s="6" t="n">
        <f aca="false">E6-N6</f>
        <v>123619.63190184</v>
      </c>
      <c r="P6" s="10" t="n">
        <f aca="false">O6/C6</f>
        <v>0.0265848670756646</v>
      </c>
    </row>
    <row r="7" customFormat="false" ht="15" hidden="false" customHeight="false" outlineLevel="0" collapsed="false">
      <c r="A7" s="5" t="s">
        <v>49</v>
      </c>
      <c r="B7" s="7"/>
      <c r="C7" s="6" t="n">
        <f aca="false">SUM(C2:C6)</f>
        <v>16300000</v>
      </c>
      <c r="D7" s="6" t="n">
        <f aca="false">SUM(D2:D6)</f>
        <v>10970000</v>
      </c>
      <c r="E7" s="6" t="n">
        <f aca="false">SUM(E2:E6)</f>
        <v>5330000</v>
      </c>
      <c r="F7" s="6" t="n">
        <f aca="false">SUM(F2:F6)</f>
        <v>850000</v>
      </c>
      <c r="G7" s="6" t="n">
        <f aca="false">SUM(G2:G6)</f>
        <v>1200000</v>
      </c>
      <c r="H7" s="6" t="n">
        <f aca="false">SUM(H2:H6)</f>
        <v>650000</v>
      </c>
      <c r="I7" s="6" t="n">
        <f aca="false">SUM(I2:I6)</f>
        <v>1450000</v>
      </c>
      <c r="J7" s="6" t="n">
        <f aca="false">SUM(J2:J6)</f>
        <v>850000</v>
      </c>
      <c r="K7" s="6" t="n">
        <f aca="false">SUM(K2:K6)</f>
        <v>5000000</v>
      </c>
      <c r="L7" s="6" t="n">
        <f aca="false">SUM(L2:L6)</f>
        <v>330000</v>
      </c>
      <c r="M7" s="7"/>
      <c r="N7" s="6" t="n">
        <f aca="false">SUM(N2:N6)</f>
        <v>5000000</v>
      </c>
      <c r="O7" s="6" t="n">
        <f aca="false">SUM(O2:O6)</f>
        <v>330000</v>
      </c>
      <c r="P7" s="7"/>
    </row>
    <row r="9" customFormat="false" ht="15" hidden="false" customHeight="false" outlineLevel="0" collapsed="false">
      <c r="A9" s="8" t="s">
        <v>50</v>
      </c>
    </row>
    <row r="10" customFormat="false" ht="15" hidden="false" customHeight="false" outlineLevel="0" collapsed="false">
      <c r="A10" s="8" t="s">
        <v>51</v>
      </c>
    </row>
    <row r="11" customFormat="false" ht="15" hidden="false" customHeight="false" outlineLevel="0" collapsed="false">
      <c r="A11" s="8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2026-08-27T05:55:05Z</dcterms:created>
  <dc:creator>openpyxl</dc:creator>
  <dc:description/>
  <dc:language>en-US</dc:language>
  <cp:lastModifiedBy/>
  <dcterms:modified xsi:type="dcterms:W3CDTF">2026-08-27T05:55:05Z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